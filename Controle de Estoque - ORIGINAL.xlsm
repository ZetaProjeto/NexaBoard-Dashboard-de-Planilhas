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arvis\Downloads\"/>
    </mc:Choice>
  </mc:AlternateContent>
  <xr:revisionPtr revIDLastSave="0" documentId="8_{7E80DCB3-CB3A-4481-9351-A1BB74511663}" xr6:coauthVersionLast="47" xr6:coauthVersionMax="47" xr10:uidLastSave="{00000000-0000-0000-0000-000000000000}"/>
  <bookViews>
    <workbookView xWindow="-120" yWindow="-120" windowWidth="20640" windowHeight="11040" activeTab="1" xr2:uid="{41C208CE-4792-4F54-B3B7-2DCF070A784E}"/>
  </bookViews>
  <sheets>
    <sheet name="PRODUÇÃO" sheetId="1" r:id="rId1"/>
    <sheet name="ESTOQUE" sheetId="2" r:id="rId2"/>
    <sheet name="Planilha1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9" i="2" l="1"/>
  <c r="J19" i="2" s="1"/>
  <c r="N19" i="2"/>
  <c r="G10" i="2"/>
  <c r="J10" i="2" s="1"/>
  <c r="N10" i="2"/>
  <c r="G11" i="2"/>
  <c r="J11" i="2" s="1"/>
  <c r="N11" i="2"/>
  <c r="G12" i="2"/>
  <c r="J12" i="2" s="1"/>
  <c r="N12" i="2"/>
  <c r="G16" i="2"/>
  <c r="J16" i="2" s="1"/>
  <c r="N16" i="2"/>
  <c r="G15" i="2"/>
  <c r="J15" i="2" s="1"/>
  <c r="N15" i="2"/>
  <c r="G14" i="2"/>
  <c r="J14" i="2" s="1"/>
  <c r="N14" i="2"/>
  <c r="G18" i="2"/>
  <c r="J18" i="2" s="1"/>
  <c r="N18" i="2"/>
  <c r="G13" i="2"/>
  <c r="J13" i="2" s="1"/>
  <c r="N13" i="2"/>
  <c r="A6" i="2"/>
  <c r="G17" i="2"/>
  <c r="J17" i="2" s="1"/>
  <c r="G9" i="2"/>
  <c r="J9" i="2" s="1"/>
  <c r="N17" i="2"/>
  <c r="E19" i="1"/>
  <c r="E18" i="1"/>
  <c r="E25" i="1"/>
  <c r="E22" i="1"/>
  <c r="E24" i="1"/>
  <c r="E11" i="1"/>
  <c r="E29" i="1"/>
  <c r="E30" i="1"/>
  <c r="E12" i="1"/>
  <c r="E23" i="1"/>
  <c r="E10" i="1"/>
  <c r="E13" i="1"/>
  <c r="E16" i="1"/>
  <c r="E31" i="1"/>
  <c r="E33" i="1"/>
  <c r="E9" i="1"/>
  <c r="E21" i="1"/>
  <c r="E26" i="1"/>
  <c r="E32" i="1"/>
  <c r="E28" i="1"/>
  <c r="E27" i="1"/>
  <c r="E20" i="1"/>
  <c r="E34" i="1"/>
  <c r="E14" i="1"/>
  <c r="E17" i="1"/>
  <c r="N9" i="2"/>
  <c r="E15" i="1"/>
  <c r="A6" i="1"/>
  <c r="H15" i="1" s="1"/>
  <c r="M19" i="2" l="1"/>
  <c r="M10" i="2"/>
  <c r="M11" i="2"/>
  <c r="M12" i="2"/>
  <c r="M16" i="2"/>
  <c r="M15" i="2"/>
  <c r="M14" i="2"/>
  <c r="M18" i="2"/>
  <c r="M13" i="2"/>
  <c r="M17" i="2"/>
  <c r="M9" i="2"/>
  <c r="H19" i="1"/>
  <c r="H18" i="1"/>
  <c r="H25" i="1"/>
  <c r="H20" i="1"/>
  <c r="H31" i="1"/>
  <c r="H11" i="1"/>
  <c r="H27" i="1"/>
  <c r="H16" i="1"/>
  <c r="H26" i="1"/>
  <c r="H23" i="1"/>
  <c r="H24" i="1"/>
  <c r="H17" i="1"/>
  <c r="H21" i="1"/>
  <c r="H12" i="1"/>
  <c r="H14" i="1"/>
  <c r="H28" i="1"/>
  <c r="H9" i="1"/>
  <c r="H13" i="1"/>
  <c r="H30" i="1"/>
  <c r="H22" i="1"/>
  <c r="H34" i="1"/>
  <c r="H32" i="1"/>
  <c r="H33" i="1"/>
  <c r="H10" i="1"/>
  <c r="H29" i="1"/>
</calcChain>
</file>

<file path=xl/sharedStrings.xml><?xml version="1.0" encoding="utf-8"?>
<sst xmlns="http://schemas.openxmlformats.org/spreadsheetml/2006/main" count="108" uniqueCount="64">
  <si>
    <t>HOJE</t>
  </si>
  <si>
    <t>PRODUTO</t>
  </si>
  <si>
    <t>QUANTIDADE</t>
  </si>
  <si>
    <t>VALIDADE</t>
  </si>
  <si>
    <t>DIAS RESTANTES</t>
  </si>
  <si>
    <t>STATUS</t>
  </si>
  <si>
    <t>EM USO</t>
  </si>
  <si>
    <t>CONTROLE DE ESTOQUE</t>
  </si>
  <si>
    <t>SABOR</t>
  </si>
  <si>
    <t>Saborizante</t>
  </si>
  <si>
    <t>FABRICADO</t>
  </si>
  <si>
    <t>CONTROLE DE PRODUÇÃO</t>
  </si>
  <si>
    <t>SAÍDA</t>
  </si>
  <si>
    <t>LOCALIZAÇÃO</t>
  </si>
  <si>
    <t>TIPO</t>
  </si>
  <si>
    <t>SORVETE</t>
  </si>
  <si>
    <t>CHOCOLATE</t>
  </si>
  <si>
    <t>FABRICAÇÃO</t>
  </si>
  <si>
    <t>ESTOQUE
ATUAL</t>
  </si>
  <si>
    <t>QUANTIDADE
FABRICADO</t>
  </si>
  <si>
    <t>SITUAÇÃO</t>
  </si>
  <si>
    <t>VALIDADE FINAL</t>
  </si>
  <si>
    <t>DIAS VAL.</t>
  </si>
  <si>
    <t>BOMBOM</t>
  </si>
  <si>
    <t>AÇAÍ</t>
  </si>
  <si>
    <t>MORANGO</t>
  </si>
  <si>
    <t>03//02/2025</t>
  </si>
  <si>
    <t>CREME</t>
  </si>
  <si>
    <t>CHICLETE ROSA</t>
  </si>
  <si>
    <t>YORGUTE</t>
  </si>
  <si>
    <t>JABUTICABA</t>
  </si>
  <si>
    <t>MARACUJÁ</t>
  </si>
  <si>
    <t>MENTA</t>
  </si>
  <si>
    <t>PISTACHE</t>
  </si>
  <si>
    <t>MALTINE</t>
  </si>
  <si>
    <t>L. CONDENSADO</t>
  </si>
  <si>
    <t>AMENDOIM</t>
  </si>
  <si>
    <t>UVA</t>
  </si>
  <si>
    <t>NATA</t>
  </si>
  <si>
    <t>COCO</t>
  </si>
  <si>
    <t>CÉU AZUL</t>
  </si>
  <si>
    <t>BANANA</t>
  </si>
  <si>
    <t>LIGA NEUTRA</t>
  </si>
  <si>
    <t>MILHO VERDE</t>
  </si>
  <si>
    <t>BAUNILHA BRANCA</t>
  </si>
  <si>
    <t>LEITE NINHO</t>
  </si>
  <si>
    <t>GRAVIOLA</t>
  </si>
  <si>
    <t>NINHO TRUFADO</t>
  </si>
  <si>
    <t>MACA VERDE</t>
  </si>
  <si>
    <t>GROSELHA</t>
  </si>
  <si>
    <t>CUBA</t>
  </si>
  <si>
    <t>ILHA</t>
  </si>
  <si>
    <t> </t>
  </si>
  <si>
    <t>CAIXA 10L</t>
  </si>
  <si>
    <t>CAIXA 5L</t>
  </si>
  <si>
    <t>POTE 2L</t>
  </si>
  <si>
    <t>FABRICA</t>
  </si>
  <si>
    <t>AÇAÍ PURO</t>
  </si>
  <si>
    <t>CHOCOMENTA</t>
  </si>
  <si>
    <t>TENTAÇÃO</t>
  </si>
  <si>
    <t>FLOCOS</t>
  </si>
  <si>
    <t>BAUNILHA</t>
  </si>
  <si>
    <t>Coluna1</t>
  </si>
  <si>
    <t>TORTA DE LIMÃO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</si>
</sst>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8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4"/>
      <color theme="0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16"/>
      <color theme="0"/>
      <name val="Arial"/>
      <family val="2"/>
    </font>
    <font>
      <b/>
      <sz val="18"/>
      <name val="Arial"/>
      <family val="2"/>
    </font>
    <font>
      <sz val="18"/>
      <color theme="1"/>
      <name val="Arial"/>
      <family val="2"/>
    </font>
    <font>
      <b/>
      <sz val="36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3" borderId="0" xfId="0" applyFont="1" applyFill="1"/>
    <xf numFmtId="0" fontId="0" fillId="4" borderId="0" xfId="0" applyFill="1"/>
    <xf numFmtId="14" fontId="3" fillId="4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10" fillId="5" borderId="0" xfId="0" applyFont="1" applyFill="1" applyAlignment="1">
      <alignment vertical="center"/>
    </xf>
    <xf numFmtId="0" fontId="10" fillId="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 wrapText="1"/>
    </xf>
    <xf numFmtId="43" fontId="13" fillId="9" borderId="0" xfId="1" applyFont="1" applyFill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14" fontId="15" fillId="7" borderId="0" xfId="0" applyNumberFormat="1" applyFont="1" applyFill="1" applyAlignment="1">
      <alignment horizontal="center" vertical="center"/>
    </xf>
    <xf numFmtId="0" fontId="16" fillId="5" borderId="0" xfId="0" applyFont="1" applyFill="1" applyAlignment="1">
      <alignment vertical="center"/>
    </xf>
    <xf numFmtId="0" fontId="12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0" borderId="0" xfId="0" applyNumberFormat="1" applyFont="1" applyAlignment="1">
      <alignment horizontal="center" vertical="center"/>
    </xf>
    <xf numFmtId="43" fontId="13" fillId="9" borderId="0" xfId="1" applyNumberFormat="1" applyFont="1" applyFill="1" applyAlignment="1">
      <alignment horizontal="center" vertical="center"/>
    </xf>
  </cellXfs>
  <cellStyles count="2">
    <cellStyle name="Normal" xfId="0" builtinId="0"/>
    <cellStyle name="Vírgula" xfId="1" builtinId="3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theme="1"/>
          <bgColor theme="5" tint="0.39994506668294322"/>
        </patternFill>
      </fill>
    </dxf>
    <dxf>
      <fill>
        <patternFill>
          <fgColor theme="0"/>
          <bgColor rgb="FF00B050"/>
        </patternFill>
      </fill>
    </dxf>
    <dxf>
      <fill>
        <patternFill>
          <fgColor theme="1"/>
          <bgColor rgb="FFF4B08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fgColor theme="4" tint="-0.24994659260841701"/>
          <bgColor theme="4" tint="-0.24994659260841701"/>
        </patternFill>
      </fill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font>
        <b/>
      </font>
      <numFmt numFmtId="19" formatCode="dd/mm/yyyy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color rgb="FFFFFFFF"/>
      </font>
      <fill>
        <patternFill>
          <fgColor rgb="FFFF0000"/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fgColor theme="5" tint="0.39994506668294322"/>
          <bgColor theme="5" tint="0.39994506668294322"/>
        </patternFill>
      </fill>
    </dxf>
    <dxf>
      <font>
        <color rgb="FFC00000"/>
      </font>
      <fill>
        <patternFill>
          <bgColor rgb="FFFF7171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b/>
        <i val="0"/>
        <color theme="0" tint="-4.9989318521683403E-2"/>
      </font>
      <fill>
        <patternFill patternType="darkGray">
          <fgColor theme="7" tint="-0.499984740745262"/>
          <bgColor theme="7" tint="-0.499984740745262"/>
        </patternFill>
      </fill>
    </dxf>
    <dxf>
      <font>
        <b/>
        <i val="0"/>
        <color theme="4" tint="-0.499984740745262"/>
      </font>
      <fill>
        <patternFill patternType="darkTrellis">
          <fgColor theme="7" tint="-0.24994659260841701"/>
        </patternFill>
      </fill>
    </dxf>
    <dxf>
      <font>
        <b/>
        <i val="0"/>
        <color theme="7" tint="-0.499984740745262"/>
      </font>
      <fill>
        <patternFill patternType="solid">
          <fgColor theme="7" tint="-0.24994659260841701"/>
        </patternFill>
      </fill>
    </dxf>
    <dxf>
      <font>
        <b/>
        <i val="0"/>
        <color theme="4" tint="-0.499984740745262"/>
      </font>
      <fill>
        <patternFill>
          <fgColor theme="4" tint="0.59996337778862885"/>
          <bgColor theme="4" tint="0.39994506668294322"/>
        </patternFill>
      </fill>
    </dxf>
    <dxf>
      <font>
        <b/>
        <i val="0"/>
        <color theme="6" tint="-0.24994659260841701"/>
      </font>
      <fill>
        <patternFill>
          <bgColor theme="6" tint="0.59996337778862885"/>
        </patternFill>
      </fill>
    </dxf>
    <dxf>
      <font>
        <b/>
        <i val="0"/>
        <color rgb="FFC00000"/>
      </font>
      <fill>
        <patternFill patternType="solid">
          <fgColor theme="6" tint="0.59996337778862885"/>
          <bgColor theme="5" tint="0.39994506668294322"/>
        </patternFill>
      </fill>
    </dxf>
    <dxf>
      <font>
        <b/>
        <i val="0"/>
        <color theme="6" tint="-0.24994659260841701"/>
      </font>
      <fill>
        <patternFill patternType="solid">
          <bgColor theme="6" tint="0.59996337778862885"/>
        </patternFill>
      </fill>
    </dxf>
    <dxf>
      <font>
        <b/>
        <i val="0"/>
        <color rgb="FFC00000"/>
      </font>
      <fill>
        <patternFill patternType="solid">
          <bgColor rgb="FFFF9797"/>
        </patternFill>
      </fill>
    </dxf>
    <dxf>
      <font>
        <b/>
        <i val="0"/>
        <color rgb="FF002060"/>
      </font>
      <fill>
        <patternFill>
          <bgColor rgb="FF5293DA"/>
        </patternFill>
      </fill>
    </dxf>
  </dxfs>
  <tableStyles count="0" defaultTableStyle="TableStyleMedium2" defaultPivotStyle="PivotStyleLight16"/>
  <colors>
    <mruColors>
      <color rgb="FFFFFFFF"/>
      <color rgb="FF5293DA"/>
      <color rgb="FFFF9797"/>
      <color rgb="FFFF3333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F39BE5-592F-485B-A999-80E26FA9D8CE}" name="Tabela1" displayName="Tabela1" ref="A8:H34" totalsRowShown="0" headerRowDxfId="39" dataDxfId="38">
  <autoFilter ref="A8:H34" xr:uid="{D8F39BE5-592F-485B-A999-80E26FA9D8CE}"/>
  <sortState xmlns:xlrd2="http://schemas.microsoft.com/office/spreadsheetml/2017/richdata2" ref="A9:H34">
    <sortCondition ref="B8:B34"/>
  </sortState>
  <tableColumns count="8">
    <tableColumn id="1" xr3:uid="{D31505FD-B2AD-4B4D-B372-EF2D75B164EC}" name="PRODUTO" dataDxfId="37"/>
    <tableColumn id="2" xr3:uid="{F40EC0BD-335E-4C8F-9F65-623A8FF558BB}" name="SABOR" dataDxfId="36"/>
    <tableColumn id="3" xr3:uid="{CF8D533C-E7DE-4AFB-8FC8-A011D4706A89}" name="QUANTIDADE" dataDxfId="35"/>
    <tableColumn id="4" xr3:uid="{8AE8CAB4-6B96-45A5-87C1-3A1CEE3F1E30}" name="EM USO" dataDxfId="34"/>
    <tableColumn id="5" xr3:uid="{A95E8E17-EAAA-45F4-B3A5-B864F8B146E2}" name="STATUS" dataDxfId="33">
      <calculatedColumnFormula>IF(C9&gt;1,"ESTOQUE SEGURO",IF(C9&lt;=0,"ESGOTADO",IF(C9&lt;2,"REABASTECER")))</calculatedColumnFormula>
    </tableColumn>
    <tableColumn id="6" xr3:uid="{91682576-56C6-48FF-B2D1-5D48F365B1EE}" name="FABRICADO" dataDxfId="32"/>
    <tableColumn id="7" xr3:uid="{E3E8A734-F892-4D99-8D9E-B44C3833C475}" name="VALIDADE" dataDxfId="31"/>
    <tableColumn id="8" xr3:uid="{3EB3481D-F9F4-4F8A-8A42-7E80865B8D5B}" name="DIAS RESTANTES" dataDxfId="30">
      <calculatedColumnFormula>G9-$A$6</calculatedColumnFormula>
    </tableColumn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407872-DFBF-4FCB-B4FA-2D8026A37736}" name="Tabela2" displayName="Tabela2" ref="A8:N19" totalsRowShown="0" headerRowDxfId="15" dataDxfId="14">
  <autoFilter ref="A8:N19" xr:uid="{44407872-DFBF-4FCB-B4FA-2D8026A37736}"/>
  <sortState xmlns:xlrd2="http://schemas.microsoft.com/office/spreadsheetml/2017/richdata2" ref="A9:N18">
    <sortCondition ref="B8:B18"/>
  </sortState>
  <tableColumns count="14">
    <tableColumn id="1" xr3:uid="{46F90DF4-C6A0-4BC7-8D62-52DDE8C3EC09}" name="Coluna1" dataDxfId="13"/>
    <tableColumn id="2" xr3:uid="{C7E77F05-971F-4C9E-A26C-3A3833C96129}" name="SABOR" dataDxfId="12"/>
    <tableColumn id="3" xr3:uid="{D2607E31-AAE9-4BD2-87D4-ED79C10C2600}" name="LOCALIZAÇÃO" dataDxfId="11"/>
    <tableColumn id="5" xr3:uid="{5B48B6B4-F5B4-4D44-B3B0-267FA9981523}" name="QUANTIDADE_x000a_FABRICADO" dataDxfId="10"/>
    <tableColumn id="6" xr3:uid="{B701FCC9-057E-4403-B637-2F99DCA13BF1}" name="TIPO" dataDxfId="9"/>
    <tableColumn id="7" xr3:uid="{EAA6AE59-05A9-4BB7-B9F9-AB3868694DF7}" name="SAÍDA" dataDxfId="8"/>
    <tableColumn id="8" xr3:uid="{E8632FF5-D072-42D1-B622-FDCF4E6F2160}" name="ESTOQUE_x000a_ATUAL" dataDxfId="7">
      <calculatedColumnFormula>SUM(Tabela2[[#This Row],[QUANTIDADE
FABRICADO]]-Tabela2[[#This Row],[SAÍDA]]-Tabela2[[#This Row],[EM USO]])</calculatedColumnFormula>
    </tableColumn>
    <tableColumn id="9" xr3:uid="{4091B127-E5B2-4AB9-AB79-F415A6D50CC4}" name="EM USO" dataDxfId="6"/>
    <tableColumn id="15" xr3:uid="{D6541534-5FD0-4846-AE61-529B7CB307CB}" name="CUBA" dataDxfId="5"/>
    <tableColumn id="10" xr3:uid="{6162B05F-A20B-4A1A-8B6D-7BBDA022AD5F}" name="SITUAÇÃO" dataDxfId="4" dataCellStyle="Vírgula">
      <calculatedColumnFormula>IF(G9&gt;0,"EM ESTOQUE",IF(H9&gt;=0,"PRODUZIR"))</calculatedColumnFormula>
    </tableColumn>
    <tableColumn id="11" xr3:uid="{926B7DE1-15B8-458B-9C15-E7CC76FBA7D6}" name="VALIDADE" dataDxfId="3"/>
    <tableColumn id="12" xr3:uid="{800F1A5D-95BD-4328-876A-BDDE8993D470}" name="FABRICAÇÃO" dataDxfId="2"/>
    <tableColumn id="13" xr3:uid="{486083B7-8D72-4B57-8B61-7690E623B0E8}" name="DIAS VAL." dataDxfId="1">
      <calculatedColumnFormula>N9-$A$6</calculatedColumnFormula>
    </tableColumn>
    <tableColumn id="14" xr3:uid="{250F7741-5A6D-43C4-9DF2-BB419047F6DC}" name="VALIDADE FINAL" dataDxfId="0">
      <calculatedColumnFormula>SUM(L9+K9)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C72CF-8DF0-479C-A74B-74862659E5D7}">
  <sheetPr codeName="Planilha1">
    <pageSetUpPr autoPageBreaks="0"/>
  </sheetPr>
  <dimension ref="A1:H34"/>
  <sheetViews>
    <sheetView showGridLines="0" showRowColHeaders="0" topLeftCell="A17" zoomScale="128" zoomScaleNormal="128" workbookViewId="0">
      <selection activeCell="B8" sqref="B8:C34"/>
    </sheetView>
  </sheetViews>
  <sheetFormatPr defaultRowHeight="15" x14ac:dyDescent="0.25"/>
  <cols>
    <col min="1" max="1" width="21.85546875" customWidth="1"/>
    <col min="2" max="2" width="18.42578125" customWidth="1"/>
    <col min="3" max="3" width="18.140625" customWidth="1"/>
    <col min="4" max="4" width="13.140625" customWidth="1"/>
    <col min="5" max="5" width="18.140625" customWidth="1"/>
    <col min="6" max="6" width="16.5703125" customWidth="1"/>
    <col min="7" max="7" width="21.42578125" customWidth="1"/>
    <col min="8" max="8" width="21.28515625" customWidth="1"/>
  </cols>
  <sheetData>
    <row r="1" spans="1:8" s="5" customFormat="1" ht="35.25" customHeight="1" x14ac:dyDescent="0.55000000000000004">
      <c r="A1" s="5" t="s">
        <v>11</v>
      </c>
    </row>
    <row r="2" spans="1:8" s="6" customFormat="1" ht="4.5" customHeight="1" x14ac:dyDescent="0.25"/>
    <row r="5" spans="1:8" ht="24" x14ac:dyDescent="0.25">
      <c r="A5" s="8" t="s">
        <v>0</v>
      </c>
    </row>
    <row r="6" spans="1:8" ht="18.75" x14ac:dyDescent="0.25">
      <c r="A6" s="7">
        <f ca="1">TODAY()</f>
        <v>46323</v>
      </c>
    </row>
    <row r="8" spans="1:8" x14ac:dyDescent="0.25">
      <c r="A8" s="4" t="s">
        <v>1</v>
      </c>
      <c r="B8" s="4" t="s">
        <v>8</v>
      </c>
      <c r="C8" s="4" t="s">
        <v>2</v>
      </c>
      <c r="D8" s="4" t="s">
        <v>6</v>
      </c>
      <c r="E8" s="4" t="s">
        <v>5</v>
      </c>
      <c r="F8" s="4" t="s">
        <v>10</v>
      </c>
      <c r="G8" s="4" t="s">
        <v>3</v>
      </c>
      <c r="H8" s="4" t="s">
        <v>4</v>
      </c>
    </row>
    <row r="9" spans="1:8" x14ac:dyDescent="0.25">
      <c r="A9" s="1"/>
      <c r="B9" s="1" t="s">
        <v>36</v>
      </c>
      <c r="C9" s="1">
        <v>3</v>
      </c>
      <c r="D9" s="1"/>
      <c r="E9" s="3" t="str">
        <f t="shared" ref="E9:E34" si="0">IF(C9&gt;1,"ESTOQUE SEGURO",IF(C9&lt;=0,"ESGOTADO",IF(C9&lt;2,"REABASTECER")))</f>
        <v>ESTOQUE SEGURO</v>
      </c>
      <c r="F9" s="2">
        <v>45696</v>
      </c>
      <c r="G9" s="2">
        <v>46061</v>
      </c>
      <c r="H9" s="1">
        <f t="shared" ref="H9:H34" ca="1" si="1">G9-$A$6</f>
        <v>-262</v>
      </c>
    </row>
    <row r="10" spans="1:8" x14ac:dyDescent="0.25">
      <c r="A10" s="1"/>
      <c r="B10" s="1" t="s">
        <v>41</v>
      </c>
      <c r="C10" s="1">
        <v>1</v>
      </c>
      <c r="D10" s="1"/>
      <c r="E10" s="3" t="str">
        <f t="shared" si="0"/>
        <v>REABASTECER</v>
      </c>
      <c r="F10" s="2">
        <v>45782</v>
      </c>
      <c r="G10" s="2">
        <v>46147</v>
      </c>
      <c r="H10" s="1">
        <f t="shared" ca="1" si="1"/>
        <v>-176</v>
      </c>
    </row>
    <row r="11" spans="1:8" x14ac:dyDescent="0.25">
      <c r="A11" s="1"/>
      <c r="B11" s="1" t="s">
        <v>44</v>
      </c>
      <c r="C11" s="1">
        <v>2</v>
      </c>
      <c r="D11" s="1"/>
      <c r="E11" s="3" t="str">
        <f t="shared" si="0"/>
        <v>ESTOQUE SEGURO</v>
      </c>
      <c r="F11" s="2">
        <v>45547</v>
      </c>
      <c r="G11" s="2">
        <v>45912</v>
      </c>
      <c r="H11" s="1">
        <f t="shared" ca="1" si="1"/>
        <v>-411</v>
      </c>
    </row>
    <row r="12" spans="1:8" x14ac:dyDescent="0.25">
      <c r="A12" s="1"/>
      <c r="B12" s="1" t="s">
        <v>23</v>
      </c>
      <c r="C12" s="1">
        <v>1</v>
      </c>
      <c r="D12" s="1"/>
      <c r="E12" s="3" t="str">
        <f t="shared" si="0"/>
        <v>REABASTECER</v>
      </c>
      <c r="F12" s="2">
        <v>45819</v>
      </c>
      <c r="G12" s="2">
        <v>46184</v>
      </c>
      <c r="H12" s="1">
        <f t="shared" ca="1" si="1"/>
        <v>-139</v>
      </c>
    </row>
    <row r="13" spans="1:8" x14ac:dyDescent="0.25">
      <c r="A13" s="1"/>
      <c r="B13" s="1" t="s">
        <v>40</v>
      </c>
      <c r="C13" s="1"/>
      <c r="D13" s="1"/>
      <c r="E13" s="3" t="str">
        <f t="shared" si="0"/>
        <v>ESGOTADO</v>
      </c>
      <c r="F13" s="2">
        <v>45853</v>
      </c>
      <c r="G13" s="2">
        <v>46218</v>
      </c>
      <c r="H13" s="1">
        <f t="shared" ca="1" si="1"/>
        <v>-105</v>
      </c>
    </row>
    <row r="14" spans="1:8" x14ac:dyDescent="0.25">
      <c r="A14" s="1"/>
      <c r="B14" s="1" t="s">
        <v>28</v>
      </c>
      <c r="C14" s="1">
        <v>1</v>
      </c>
      <c r="D14" s="1"/>
      <c r="E14" s="3" t="str">
        <f t="shared" si="0"/>
        <v>REABASTECER</v>
      </c>
      <c r="F14" s="2">
        <v>45883</v>
      </c>
      <c r="G14" s="2">
        <v>46248</v>
      </c>
      <c r="H14" s="1">
        <f t="shared" ca="1" si="1"/>
        <v>-75</v>
      </c>
    </row>
    <row r="15" spans="1:8" x14ac:dyDescent="0.25">
      <c r="A15" s="1" t="s">
        <v>9</v>
      </c>
      <c r="B15" s="1" t="s">
        <v>16</v>
      </c>
      <c r="C15" s="1"/>
      <c r="D15" s="1"/>
      <c r="E15" s="3" t="str">
        <f t="shared" si="0"/>
        <v>ESGOTADO</v>
      </c>
      <c r="F15" s="2" t="s">
        <v>26</v>
      </c>
      <c r="G15" s="2">
        <v>46056</v>
      </c>
      <c r="H15" s="1">
        <f t="shared" ca="1" si="1"/>
        <v>-267</v>
      </c>
    </row>
    <row r="16" spans="1:8" x14ac:dyDescent="0.25">
      <c r="A16" s="1"/>
      <c r="B16" s="1" t="s">
        <v>39</v>
      </c>
      <c r="C16" s="1"/>
      <c r="D16" s="1"/>
      <c r="E16" s="3" t="str">
        <f t="shared" si="0"/>
        <v>ESGOTADO</v>
      </c>
      <c r="F16" s="2">
        <v>45845</v>
      </c>
      <c r="G16" s="2">
        <v>46210</v>
      </c>
      <c r="H16" s="1">
        <f t="shared" ca="1" si="1"/>
        <v>-113</v>
      </c>
    </row>
    <row r="17" spans="1:8" x14ac:dyDescent="0.25">
      <c r="A17" s="1"/>
      <c r="B17" s="1" t="s">
        <v>27</v>
      </c>
      <c r="C17" s="1">
        <v>1</v>
      </c>
      <c r="D17" s="1"/>
      <c r="E17" s="3" t="str">
        <f t="shared" si="0"/>
        <v>REABASTECER</v>
      </c>
      <c r="F17" s="2">
        <v>45671</v>
      </c>
      <c r="G17" s="2">
        <v>46036</v>
      </c>
      <c r="H17" s="1">
        <f t="shared" ca="1" si="1"/>
        <v>-287</v>
      </c>
    </row>
    <row r="18" spans="1:8" x14ac:dyDescent="0.25">
      <c r="A18" s="1"/>
      <c r="B18" s="1" t="s">
        <v>46</v>
      </c>
      <c r="C18" s="1"/>
      <c r="D18" s="1"/>
      <c r="E18" s="3" t="str">
        <f t="shared" si="0"/>
        <v>ESGOTADO</v>
      </c>
      <c r="F18" s="2"/>
      <c r="G18" s="2"/>
      <c r="H18" s="1">
        <f t="shared" ca="1" si="1"/>
        <v>-46323</v>
      </c>
    </row>
    <row r="19" spans="1:8" x14ac:dyDescent="0.25">
      <c r="A19" s="1"/>
      <c r="B19" s="1" t="s">
        <v>49</v>
      </c>
      <c r="C19" s="1">
        <v>1</v>
      </c>
      <c r="D19" s="1"/>
      <c r="E19" s="3" t="str">
        <f t="shared" si="0"/>
        <v>REABASTECER</v>
      </c>
      <c r="F19" s="2"/>
      <c r="G19" s="2"/>
      <c r="H19" s="1">
        <f t="shared" ca="1" si="1"/>
        <v>-46323</v>
      </c>
    </row>
    <row r="20" spans="1:8" x14ac:dyDescent="0.25">
      <c r="A20" s="1"/>
      <c r="B20" s="1" t="s">
        <v>30</v>
      </c>
      <c r="C20" s="1">
        <v>3</v>
      </c>
      <c r="D20" s="1"/>
      <c r="E20" s="3" t="str">
        <f t="shared" si="0"/>
        <v>ESTOQUE SEGURO</v>
      </c>
      <c r="F20" s="2">
        <v>45713</v>
      </c>
      <c r="G20" s="2">
        <v>46078</v>
      </c>
      <c r="H20" s="1">
        <f t="shared" ca="1" si="1"/>
        <v>-245</v>
      </c>
    </row>
    <row r="21" spans="1:8" x14ac:dyDescent="0.25">
      <c r="A21" s="1"/>
      <c r="B21" s="1" t="s">
        <v>35</v>
      </c>
      <c r="C21" s="1">
        <v>2</v>
      </c>
      <c r="D21" s="1"/>
      <c r="E21" s="3" t="str">
        <f t="shared" si="0"/>
        <v>ESTOQUE SEGURO</v>
      </c>
      <c r="F21" s="2">
        <v>45761</v>
      </c>
      <c r="G21" s="2">
        <v>46126</v>
      </c>
      <c r="H21" s="1">
        <f t="shared" ca="1" si="1"/>
        <v>-197</v>
      </c>
    </row>
    <row r="22" spans="1:8" x14ac:dyDescent="0.25">
      <c r="A22" s="1"/>
      <c r="B22" s="1" t="s">
        <v>45</v>
      </c>
      <c r="C22" s="1"/>
      <c r="D22" s="1"/>
      <c r="E22" s="3" t="str">
        <f t="shared" si="0"/>
        <v>ESGOTADO</v>
      </c>
      <c r="F22" s="2"/>
      <c r="G22" s="2"/>
      <c r="H22" s="1">
        <f t="shared" ca="1" si="1"/>
        <v>-46323</v>
      </c>
    </row>
    <row r="23" spans="1:8" x14ac:dyDescent="0.25">
      <c r="A23" s="1"/>
      <c r="B23" s="1" t="s">
        <v>42</v>
      </c>
      <c r="C23" s="1"/>
      <c r="D23" s="1"/>
      <c r="E23" s="3" t="str">
        <f t="shared" si="0"/>
        <v>ESGOTADO</v>
      </c>
      <c r="F23" s="2">
        <v>45817</v>
      </c>
      <c r="G23" s="2">
        <v>46182</v>
      </c>
      <c r="H23" s="1">
        <f t="shared" ca="1" si="1"/>
        <v>-141</v>
      </c>
    </row>
    <row r="24" spans="1:8" x14ac:dyDescent="0.25">
      <c r="A24" s="1"/>
      <c r="B24" s="1" t="s">
        <v>63</v>
      </c>
      <c r="C24" s="1">
        <v>1</v>
      </c>
      <c r="D24" s="1"/>
      <c r="E24" s="3" t="str">
        <f t="shared" si="0"/>
        <v>REABASTECER</v>
      </c>
      <c r="F24" s="2"/>
      <c r="G24" s="2"/>
      <c r="H24" s="1">
        <f t="shared" ca="1" si="1"/>
        <v>-46323</v>
      </c>
    </row>
    <row r="25" spans="1:8" x14ac:dyDescent="0.25">
      <c r="A25" s="1"/>
      <c r="B25" s="1" t="s">
        <v>48</v>
      </c>
      <c r="C25" s="1">
        <v>3</v>
      </c>
      <c r="D25" s="1"/>
      <c r="E25" s="3" t="str">
        <f t="shared" si="0"/>
        <v>ESTOQUE SEGURO</v>
      </c>
      <c r="F25" s="2"/>
      <c r="G25" s="2"/>
      <c r="H25" s="1">
        <f t="shared" ca="1" si="1"/>
        <v>-46323</v>
      </c>
    </row>
    <row r="26" spans="1:8" x14ac:dyDescent="0.25">
      <c r="A26" s="1"/>
      <c r="B26" s="1" t="s">
        <v>34</v>
      </c>
      <c r="C26" s="1"/>
      <c r="D26" s="1"/>
      <c r="E26" s="3" t="str">
        <f t="shared" si="0"/>
        <v>ESGOTADO</v>
      </c>
      <c r="F26" s="2">
        <v>45751</v>
      </c>
      <c r="G26" s="2">
        <v>46116</v>
      </c>
      <c r="H26" s="1">
        <f t="shared" ca="1" si="1"/>
        <v>-207</v>
      </c>
    </row>
    <row r="27" spans="1:8" x14ac:dyDescent="0.25">
      <c r="A27" s="1"/>
      <c r="B27" s="1" t="s">
        <v>31</v>
      </c>
      <c r="C27" s="1"/>
      <c r="D27" s="1"/>
      <c r="E27" s="3" t="str">
        <f t="shared" si="0"/>
        <v>ESGOTADO</v>
      </c>
      <c r="F27" s="2">
        <v>45845</v>
      </c>
      <c r="G27" s="2">
        <v>46210</v>
      </c>
      <c r="H27" s="1">
        <f t="shared" ca="1" si="1"/>
        <v>-113</v>
      </c>
    </row>
    <row r="28" spans="1:8" x14ac:dyDescent="0.25">
      <c r="A28" s="1"/>
      <c r="B28" s="1" t="s">
        <v>32</v>
      </c>
      <c r="C28" s="1"/>
      <c r="D28" s="1">
        <v>1</v>
      </c>
      <c r="E28" s="3" t="str">
        <f t="shared" si="0"/>
        <v>ESGOTADO</v>
      </c>
      <c r="F28" s="2">
        <v>45802</v>
      </c>
      <c r="G28" s="2">
        <v>46167</v>
      </c>
      <c r="H28" s="1">
        <f t="shared" ca="1" si="1"/>
        <v>-156</v>
      </c>
    </row>
    <row r="29" spans="1:8" x14ac:dyDescent="0.25">
      <c r="A29" s="1"/>
      <c r="B29" s="1" t="s">
        <v>43</v>
      </c>
      <c r="C29" s="1">
        <v>1</v>
      </c>
      <c r="D29" s="1"/>
      <c r="E29" s="3" t="str">
        <f t="shared" si="0"/>
        <v>REABASTECER</v>
      </c>
      <c r="F29" s="2">
        <v>45902</v>
      </c>
      <c r="G29" s="2">
        <v>46267</v>
      </c>
      <c r="H29" s="1">
        <f t="shared" ca="1" si="1"/>
        <v>-56</v>
      </c>
    </row>
    <row r="30" spans="1:8" x14ac:dyDescent="0.25">
      <c r="A30" s="1"/>
      <c r="B30" s="1" t="s">
        <v>25</v>
      </c>
      <c r="C30" s="1"/>
      <c r="D30" s="1"/>
      <c r="E30" s="3" t="str">
        <f t="shared" si="0"/>
        <v>ESGOTADO</v>
      </c>
      <c r="F30" s="2">
        <v>45804</v>
      </c>
      <c r="G30" s="2">
        <v>46169</v>
      </c>
      <c r="H30" s="1">
        <f t="shared" ca="1" si="1"/>
        <v>-154</v>
      </c>
    </row>
    <row r="31" spans="1:8" x14ac:dyDescent="0.25">
      <c r="A31" s="1"/>
      <c r="B31" s="1" t="s">
        <v>38</v>
      </c>
      <c r="C31" s="1">
        <v>1</v>
      </c>
      <c r="D31" s="1"/>
      <c r="E31" s="3" t="str">
        <f t="shared" si="0"/>
        <v>REABASTECER</v>
      </c>
      <c r="F31" s="2">
        <v>45817</v>
      </c>
      <c r="G31" s="2">
        <v>46182</v>
      </c>
      <c r="H31" s="1">
        <f t="shared" ca="1" si="1"/>
        <v>-141</v>
      </c>
    </row>
    <row r="32" spans="1:8" x14ac:dyDescent="0.25">
      <c r="A32" s="1"/>
      <c r="B32" s="1" t="s">
        <v>33</v>
      </c>
      <c r="C32" s="1"/>
      <c r="D32" s="1"/>
      <c r="E32" s="3" t="str">
        <f t="shared" si="0"/>
        <v>ESGOTADO</v>
      </c>
      <c r="F32" s="2">
        <v>45819</v>
      </c>
      <c r="G32" s="2">
        <v>46184</v>
      </c>
      <c r="H32" s="1">
        <f t="shared" ca="1" si="1"/>
        <v>-139</v>
      </c>
    </row>
    <row r="33" spans="1:8" x14ac:dyDescent="0.25">
      <c r="A33" s="1"/>
      <c r="B33" s="1" t="s">
        <v>37</v>
      </c>
      <c r="C33" s="1"/>
      <c r="D33" s="1"/>
      <c r="E33" s="3" t="str">
        <f t="shared" si="0"/>
        <v>ESGOTADO</v>
      </c>
      <c r="F33" s="2">
        <v>45890</v>
      </c>
      <c r="G33" s="2">
        <v>46255</v>
      </c>
      <c r="H33" s="1">
        <f t="shared" ca="1" si="1"/>
        <v>-68</v>
      </c>
    </row>
    <row r="34" spans="1:8" x14ac:dyDescent="0.25">
      <c r="A34" s="1"/>
      <c r="B34" s="1" t="s">
        <v>29</v>
      </c>
      <c r="C34" s="1">
        <v>1</v>
      </c>
      <c r="D34" s="1"/>
      <c r="E34" s="3" t="str">
        <f t="shared" si="0"/>
        <v>REABASTECER</v>
      </c>
      <c r="F34" s="2">
        <v>45868</v>
      </c>
      <c r="G34" s="2">
        <v>46233</v>
      </c>
      <c r="H34" s="1">
        <f t="shared" ca="1" si="1"/>
        <v>-90</v>
      </c>
    </row>
  </sheetData>
  <conditionalFormatting sqref="E9:E34">
    <cfRule type="cellIs" dxfId="54" priority="2" operator="equal">
      <formula>"REABASTECER"</formula>
    </cfRule>
    <cfRule type="cellIs" dxfId="53" priority="3" operator="equal">
      <formula>"REABASTECER"</formula>
    </cfRule>
    <cfRule type="cellIs" dxfId="52" priority="4" operator="equal">
      <formula>"ESTOQUE SEGURO"</formula>
    </cfRule>
    <cfRule type="cellIs" dxfId="51" priority="5" operator="equal">
      <formula>"REABASTECER"</formula>
    </cfRule>
    <cfRule type="cellIs" dxfId="50" priority="6" operator="equal">
      <formula>"ESTOQUE SEGURO"</formula>
    </cfRule>
    <cfRule type="cellIs" dxfId="49" priority="7" operator="equal">
      <formula>"REABASTECER"</formula>
    </cfRule>
    <cfRule type="cellIs" dxfId="48" priority="8" operator="equal">
      <formula>"REABASTECER"</formula>
    </cfRule>
    <cfRule type="cellIs" dxfId="47" priority="9" operator="equal">
      <formula>"REABASTECER"</formula>
    </cfRule>
    <cfRule type="cellIs" dxfId="46" priority="10" operator="equal">
      <formula>"ESTOQUE SEGURO"</formula>
    </cfRule>
    <cfRule type="cellIs" dxfId="45" priority="11" operator="equal">
      <formula>"REABASTECER"</formula>
    </cfRule>
    <cfRule type="cellIs" dxfId="44" priority="12" operator="equal">
      <formula>"ESGOTADO"</formula>
    </cfRule>
    <cfRule type="cellIs" dxfId="43" priority="13" operator="equal">
      <formula>"REABASTECER"</formula>
    </cfRule>
    <cfRule type="cellIs" dxfId="42" priority="14" operator="equal">
      <formula>"ESGOTADO"</formula>
    </cfRule>
    <cfRule type="cellIs" dxfId="41" priority="15" operator="equal">
      <formula>"ESTOQUE SEGURO"</formula>
    </cfRule>
  </conditionalFormatting>
  <conditionalFormatting sqref="A9:H34">
    <cfRule type="expression" dxfId="40" priority="1">
      <formula>ROW()=CELL("LIN")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7B36C-3E42-4360-B68D-B0EDB689878B}">
  <sheetPr codeName="Planilha2">
    <pageSetUpPr autoPageBreaks="0"/>
  </sheetPr>
  <dimension ref="A1:N19"/>
  <sheetViews>
    <sheetView showGridLines="0" showRowColHeaders="0" tabSelected="1" zoomScale="60" zoomScaleNormal="60" workbookViewId="0">
      <pane ySplit="1" topLeftCell="A2" activePane="bottomLeft" state="frozen"/>
      <selection pane="bottomLeft" activeCell="I25" sqref="I25"/>
    </sheetView>
  </sheetViews>
  <sheetFormatPr defaultColWidth="9.140625" defaultRowHeight="18" x14ac:dyDescent="0.25"/>
  <cols>
    <col min="1" max="1" width="22.28515625" style="11" customWidth="1"/>
    <col min="2" max="2" width="32.7109375" style="11" customWidth="1"/>
    <col min="3" max="3" width="28.7109375" style="11" customWidth="1"/>
    <col min="4" max="4" width="28.140625" style="11" customWidth="1"/>
    <col min="5" max="5" width="16.28515625" style="11" customWidth="1"/>
    <col min="6" max="7" width="18.42578125" style="11" customWidth="1"/>
    <col min="8" max="8" width="20.5703125" style="11" customWidth="1"/>
    <col min="9" max="9" width="18" style="11" customWidth="1"/>
    <col min="10" max="10" width="24.7109375" style="11" customWidth="1"/>
    <col min="11" max="11" width="24" style="11" customWidth="1"/>
    <col min="12" max="12" width="27.28515625" style="11" customWidth="1"/>
    <col min="13" max="13" width="12.85546875" style="11" customWidth="1"/>
    <col min="14" max="14" width="19" style="11" customWidth="1"/>
    <col min="15" max="16" width="9.140625" style="11" customWidth="1"/>
    <col min="17" max="16384" width="9.140625" style="11"/>
  </cols>
  <sheetData>
    <row r="1" spans="1:14" s="12" customFormat="1" ht="36.75" customHeight="1" x14ac:dyDescent="0.25">
      <c r="A1" s="23" t="s">
        <v>7</v>
      </c>
      <c r="B1" s="23"/>
      <c r="C1" s="23"/>
      <c r="H1" s="13"/>
      <c r="I1" s="13"/>
    </row>
    <row r="2" spans="1:14" s="14" customFormat="1" ht="5.25" customHeight="1" x14ac:dyDescent="0.25"/>
    <row r="4" spans="1:14" x14ac:dyDescent="0.25">
      <c r="D4" s="9"/>
      <c r="E4" s="9"/>
    </row>
    <row r="5" spans="1:14" ht="23.25" x14ac:dyDescent="0.25">
      <c r="A5" s="21" t="s">
        <v>0</v>
      </c>
      <c r="D5" s="10"/>
      <c r="E5" s="10"/>
    </row>
    <row r="6" spans="1:14" ht="23.25" x14ac:dyDescent="0.25">
      <c r="A6" s="22">
        <f ca="1">TODAY()</f>
        <v>46323</v>
      </c>
    </row>
    <row r="8" spans="1:14" ht="51" customHeight="1" x14ac:dyDescent="0.25">
      <c r="A8" s="15" t="s">
        <v>62</v>
      </c>
      <c r="B8" s="15" t="s">
        <v>8</v>
      </c>
      <c r="C8" s="15" t="s">
        <v>13</v>
      </c>
      <c r="D8" s="15" t="s">
        <v>19</v>
      </c>
      <c r="E8" s="15" t="s">
        <v>14</v>
      </c>
      <c r="F8" s="15" t="s">
        <v>12</v>
      </c>
      <c r="G8" s="15" t="s">
        <v>18</v>
      </c>
      <c r="H8" s="15" t="s">
        <v>6</v>
      </c>
      <c r="I8" s="15" t="s">
        <v>50</v>
      </c>
      <c r="J8" s="15" t="s">
        <v>20</v>
      </c>
      <c r="K8" s="15" t="s">
        <v>3</v>
      </c>
      <c r="L8" s="15" t="s">
        <v>17</v>
      </c>
      <c r="M8" s="15" t="s">
        <v>22</v>
      </c>
      <c r="N8" s="15" t="s">
        <v>21</v>
      </c>
    </row>
    <row r="9" spans="1:14" ht="20.25" x14ac:dyDescent="0.25">
      <c r="A9" s="16" t="s">
        <v>24</v>
      </c>
      <c r="B9" s="16" t="s">
        <v>57</v>
      </c>
      <c r="C9" s="16" t="s">
        <v>56</v>
      </c>
      <c r="D9" s="16">
        <v>10</v>
      </c>
      <c r="E9" s="16" t="s">
        <v>53</v>
      </c>
      <c r="F9" s="16">
        <v>2</v>
      </c>
      <c r="G9" s="16">
        <f>SUM(Tabela2[[#This Row],[QUANTIDADE
FABRICADO]]-Tabela2[[#This Row],[SAÍDA]]-Tabela2[[#This Row],[EM USO]])</f>
        <v>7</v>
      </c>
      <c r="H9" s="16">
        <v>1</v>
      </c>
      <c r="I9" s="24"/>
      <c r="J9" s="20" t="str">
        <f t="shared" ref="J9:J18" si="0">IF(G9&gt;0,"EM ESTOQUE",IF(H9&gt;=0,"PRODUZIR"))</f>
        <v>EM ESTOQUE</v>
      </c>
      <c r="K9" s="17">
        <v>180</v>
      </c>
      <c r="L9" s="18">
        <v>46139</v>
      </c>
      <c r="M9" s="19">
        <f t="shared" ref="M9:M18" ca="1" si="1">N9-$A$6</f>
        <v>-4</v>
      </c>
      <c r="N9" s="18">
        <f t="shared" ref="N9:N18" si="2">SUM(L9+K9)</f>
        <v>46319</v>
      </c>
    </row>
    <row r="10" spans="1:14" ht="20.25" x14ac:dyDescent="0.25">
      <c r="A10" s="16" t="s">
        <v>15</v>
      </c>
      <c r="B10" s="16" t="s">
        <v>61</v>
      </c>
      <c r="C10" s="16" t="s">
        <v>56</v>
      </c>
      <c r="D10" s="16">
        <v>2</v>
      </c>
      <c r="E10" s="16" t="s">
        <v>54</v>
      </c>
      <c r="F10" s="16"/>
      <c r="G10" s="25">
        <f>SUM(Tabela2[[#This Row],[QUANTIDADE
FABRICADO]]-Tabela2[[#This Row],[SAÍDA]]-Tabela2[[#This Row],[EM USO]])</f>
        <v>2</v>
      </c>
      <c r="H10" s="16"/>
      <c r="I10" s="16"/>
      <c r="J10" s="26" t="str">
        <f t="shared" si="0"/>
        <v>EM ESTOQUE</v>
      </c>
      <c r="K10" s="17">
        <v>180</v>
      </c>
      <c r="L10" s="18">
        <v>46126</v>
      </c>
      <c r="M10" s="19">
        <f t="shared" ca="1" si="1"/>
        <v>-17</v>
      </c>
      <c r="N10" s="18">
        <f t="shared" si="2"/>
        <v>46306</v>
      </c>
    </row>
    <row r="11" spans="1:14" ht="20.25" x14ac:dyDescent="0.25">
      <c r="A11" s="16" t="s">
        <v>15</v>
      </c>
      <c r="B11" s="16" t="s">
        <v>23</v>
      </c>
      <c r="C11" s="16" t="s">
        <v>56</v>
      </c>
      <c r="D11" s="16">
        <v>2</v>
      </c>
      <c r="E11" s="16" t="s">
        <v>54</v>
      </c>
      <c r="F11" s="16"/>
      <c r="G11" s="25">
        <f>SUM(Tabela2[[#This Row],[QUANTIDADE
FABRICADO]]-Tabela2[[#This Row],[SAÍDA]]-Tabela2[[#This Row],[EM USO]])</f>
        <v>2</v>
      </c>
      <c r="H11" s="16"/>
      <c r="I11" s="16"/>
      <c r="J11" s="26" t="str">
        <f t="shared" si="0"/>
        <v>EM ESTOQUE</v>
      </c>
      <c r="K11" s="17">
        <v>180</v>
      </c>
      <c r="L11" s="18">
        <v>46126</v>
      </c>
      <c r="M11" s="19">
        <f t="shared" ca="1" si="1"/>
        <v>-17</v>
      </c>
      <c r="N11" s="18">
        <f t="shared" si="2"/>
        <v>46306</v>
      </c>
    </row>
    <row r="12" spans="1:14" ht="20.25" x14ac:dyDescent="0.25">
      <c r="A12" s="16" t="s">
        <v>15</v>
      </c>
      <c r="B12" s="16" t="s">
        <v>16</v>
      </c>
      <c r="C12" s="16" t="s">
        <v>56</v>
      </c>
      <c r="D12" s="16">
        <v>2</v>
      </c>
      <c r="E12" s="16" t="s">
        <v>53</v>
      </c>
      <c r="F12" s="16"/>
      <c r="G12" s="25">
        <f>SUM(Tabela2[[#This Row],[QUANTIDADE
FABRICADO]]-Tabela2[[#This Row],[SAÍDA]]-Tabela2[[#This Row],[EM USO]])</f>
        <v>2</v>
      </c>
      <c r="H12" s="16"/>
      <c r="I12" s="16"/>
      <c r="J12" s="26" t="str">
        <f t="shared" si="0"/>
        <v>EM ESTOQUE</v>
      </c>
      <c r="K12" s="17">
        <v>180</v>
      </c>
      <c r="L12" s="18">
        <v>46126</v>
      </c>
      <c r="M12" s="19">
        <f t="shared" ca="1" si="1"/>
        <v>-17</v>
      </c>
      <c r="N12" s="18">
        <f t="shared" si="2"/>
        <v>46306</v>
      </c>
    </row>
    <row r="13" spans="1:14" ht="20.25" x14ac:dyDescent="0.25">
      <c r="A13" s="16" t="s">
        <v>15</v>
      </c>
      <c r="B13" s="16" t="s">
        <v>58</v>
      </c>
      <c r="C13" s="16" t="s">
        <v>56</v>
      </c>
      <c r="D13" s="16">
        <v>1</v>
      </c>
      <c r="E13" s="16" t="s">
        <v>53</v>
      </c>
      <c r="F13" s="16"/>
      <c r="G13" s="25">
        <f>SUM(Tabela2[[#This Row],[QUANTIDADE
FABRICADO]]-Tabela2[[#This Row],[SAÍDA]]-Tabela2[[#This Row],[EM USO]])</f>
        <v>0</v>
      </c>
      <c r="H13" s="16">
        <v>1</v>
      </c>
      <c r="I13" s="16"/>
      <c r="J13" s="26" t="str">
        <f t="shared" si="0"/>
        <v>PRODUZIR</v>
      </c>
      <c r="K13" s="17">
        <v>180</v>
      </c>
      <c r="L13" s="18">
        <v>46126</v>
      </c>
      <c r="M13" s="19">
        <f t="shared" ca="1" si="1"/>
        <v>-17</v>
      </c>
      <c r="N13" s="18">
        <f t="shared" si="2"/>
        <v>46306</v>
      </c>
    </row>
    <row r="14" spans="1:14" ht="20.25" x14ac:dyDescent="0.25">
      <c r="A14" s="16" t="s">
        <v>15</v>
      </c>
      <c r="B14" s="16" t="s">
        <v>60</v>
      </c>
      <c r="C14" s="16" t="s">
        <v>56</v>
      </c>
      <c r="D14" s="16">
        <v>2</v>
      </c>
      <c r="E14" s="16" t="s">
        <v>54</v>
      </c>
      <c r="F14" s="16"/>
      <c r="G14" s="25">
        <f>SUM(Tabela2[[#This Row],[QUANTIDADE
FABRICADO]]-Tabela2[[#This Row],[SAÍDA]]-Tabela2[[#This Row],[EM USO]])</f>
        <v>2</v>
      </c>
      <c r="H14" s="16"/>
      <c r="I14" s="16"/>
      <c r="J14" s="26" t="str">
        <f t="shared" si="0"/>
        <v>EM ESTOQUE</v>
      </c>
      <c r="K14" s="17">
        <v>180</v>
      </c>
      <c r="L14" s="18">
        <v>46126</v>
      </c>
      <c r="M14" s="19">
        <f t="shared" ca="1" si="1"/>
        <v>-17</v>
      </c>
      <c r="N14" s="18">
        <f t="shared" si="2"/>
        <v>46306</v>
      </c>
    </row>
    <row r="15" spans="1:14" ht="20.25" x14ac:dyDescent="0.25">
      <c r="A15" s="16" t="s">
        <v>15</v>
      </c>
      <c r="B15" s="16" t="s">
        <v>31</v>
      </c>
      <c r="C15" s="16" t="s">
        <v>56</v>
      </c>
      <c r="D15" s="16">
        <v>1</v>
      </c>
      <c r="E15" s="16" t="s">
        <v>53</v>
      </c>
      <c r="F15" s="16">
        <v>1</v>
      </c>
      <c r="G15" s="25">
        <f>SUM(Tabela2[[#This Row],[QUANTIDADE
FABRICADO]]-Tabela2[[#This Row],[SAÍDA]]-Tabela2[[#This Row],[EM USO]])</f>
        <v>0</v>
      </c>
      <c r="H15" s="16"/>
      <c r="I15" s="16"/>
      <c r="J15" s="26" t="str">
        <f t="shared" si="0"/>
        <v>PRODUZIR</v>
      </c>
      <c r="K15" s="17">
        <v>180</v>
      </c>
      <c r="L15" s="18">
        <v>46126</v>
      </c>
      <c r="M15" s="19">
        <f t="shared" ca="1" si="1"/>
        <v>-17</v>
      </c>
      <c r="N15" s="18">
        <f t="shared" si="2"/>
        <v>46306</v>
      </c>
    </row>
    <row r="16" spans="1:14" ht="20.25" x14ac:dyDescent="0.25">
      <c r="A16" s="16" t="s">
        <v>15</v>
      </c>
      <c r="B16" s="16" t="s">
        <v>25</v>
      </c>
      <c r="C16" s="16" t="s">
        <v>56</v>
      </c>
      <c r="D16" s="16">
        <v>1</v>
      </c>
      <c r="E16" s="16" t="s">
        <v>53</v>
      </c>
      <c r="F16" s="16"/>
      <c r="G16" s="25">
        <f>SUM(Tabela2[[#This Row],[QUANTIDADE
FABRICADO]]-Tabela2[[#This Row],[SAÍDA]]-Tabela2[[#This Row],[EM USO]])</f>
        <v>1</v>
      </c>
      <c r="H16" s="16"/>
      <c r="I16" s="16"/>
      <c r="J16" s="26" t="str">
        <f t="shared" si="0"/>
        <v>EM ESTOQUE</v>
      </c>
      <c r="K16" s="17">
        <v>180</v>
      </c>
      <c r="L16" s="18">
        <v>46126</v>
      </c>
      <c r="M16" s="19">
        <f t="shared" ca="1" si="1"/>
        <v>-17</v>
      </c>
      <c r="N16" s="18">
        <f t="shared" si="2"/>
        <v>46306</v>
      </c>
    </row>
    <row r="17" spans="1:14" ht="20.25" x14ac:dyDescent="0.25">
      <c r="A17" s="16" t="s">
        <v>15</v>
      </c>
      <c r="B17" s="16" t="s">
        <v>47</v>
      </c>
      <c r="C17" s="16" t="s">
        <v>56</v>
      </c>
      <c r="D17" s="16">
        <v>2</v>
      </c>
      <c r="E17" s="16" t="s">
        <v>55</v>
      </c>
      <c r="F17" s="16"/>
      <c r="G17" s="16">
        <f>SUM(Tabela2[[#This Row],[QUANTIDADE
FABRICADO]]-Tabela2[[#This Row],[SAÍDA]]-Tabela2[[#This Row],[EM USO]])</f>
        <v>2</v>
      </c>
      <c r="H17" s="16"/>
      <c r="I17" s="24" t="s">
        <v>52</v>
      </c>
      <c r="J17" s="20" t="str">
        <f t="shared" si="0"/>
        <v>EM ESTOQUE</v>
      </c>
      <c r="K17" s="17">
        <v>180</v>
      </c>
      <c r="L17" s="18">
        <v>46122</v>
      </c>
      <c r="M17" s="19">
        <f t="shared" ca="1" si="1"/>
        <v>-21</v>
      </c>
      <c r="N17" s="18">
        <f t="shared" si="2"/>
        <v>46302</v>
      </c>
    </row>
    <row r="18" spans="1:14" ht="20.25" x14ac:dyDescent="0.25">
      <c r="A18" s="16" t="s">
        <v>15</v>
      </c>
      <c r="B18" s="16" t="s">
        <v>59</v>
      </c>
      <c r="C18" s="16" t="s">
        <v>56</v>
      </c>
      <c r="D18" s="16">
        <v>1</v>
      </c>
      <c r="E18" s="16" t="s">
        <v>53</v>
      </c>
      <c r="F18" s="16"/>
      <c r="G18" s="25">
        <f>SUM(Tabela2[[#This Row],[QUANTIDADE
FABRICADO]]-Tabela2[[#This Row],[SAÍDA]]-Tabela2[[#This Row],[EM USO]])</f>
        <v>1</v>
      </c>
      <c r="H18" s="16"/>
      <c r="I18" s="16"/>
      <c r="J18" s="26" t="str">
        <f t="shared" si="0"/>
        <v>EM ESTOQUE</v>
      </c>
      <c r="K18" s="17">
        <v>180</v>
      </c>
      <c r="L18" s="18">
        <v>46126</v>
      </c>
      <c r="M18" s="19">
        <f t="shared" ca="1" si="1"/>
        <v>-17</v>
      </c>
      <c r="N18" s="18">
        <f t="shared" si="2"/>
        <v>46306</v>
      </c>
    </row>
    <row r="19" spans="1:14" ht="20.25" x14ac:dyDescent="0.25">
      <c r="A19" s="16" t="s">
        <v>15</v>
      </c>
      <c r="B19" s="16" t="s">
        <v>47</v>
      </c>
      <c r="C19" s="16" t="s">
        <v>56</v>
      </c>
      <c r="D19" s="16">
        <v>4</v>
      </c>
      <c r="E19" s="16" t="s">
        <v>53</v>
      </c>
      <c r="F19" s="16">
        <v>1</v>
      </c>
      <c r="G19" s="25">
        <f>SUM(Tabela2[[#This Row],[QUANTIDADE
FABRICADO]]-Tabela2[[#This Row],[SAÍDA]]-Tabela2[[#This Row],[EM USO]])</f>
        <v>2</v>
      </c>
      <c r="H19" s="16">
        <v>1</v>
      </c>
      <c r="I19" s="16"/>
      <c r="J19" s="26" t="str">
        <f>IF(G19&gt;0,"EM ESTOQUE",IF(H19&gt;=0,"PRODUZIR"))</f>
        <v>EM ESTOQUE</v>
      </c>
      <c r="K19" s="17">
        <v>180</v>
      </c>
      <c r="L19" s="18"/>
      <c r="M19" s="19">
        <f ca="1">N19-$A$6</f>
        <v>-46143</v>
      </c>
      <c r="N19" s="18">
        <f>SUM(L19+K19)</f>
        <v>180</v>
      </c>
    </row>
  </sheetData>
  <phoneticPr fontId="6" type="noConversion"/>
  <conditionalFormatting sqref="A9:N19">
    <cfRule type="expression" dxfId="29" priority="1">
      <formula>ROW()=CELL("LIN")</formula>
    </cfRule>
  </conditionalFormatting>
  <conditionalFormatting sqref="J9:J19">
    <cfRule type="cellIs" dxfId="28" priority="2" operator="equal">
      <formula>"PRODUZIR"</formula>
    </cfRule>
    <cfRule type="cellIs" dxfId="27" priority="3" operator="equal">
      <formula>"EM ESTOQUE"</formula>
    </cfRule>
    <cfRule type="cellIs" dxfId="26" priority="5" operator="equal">
      <formula>"RENOVAR"</formula>
    </cfRule>
    <cfRule type="cellIs" dxfId="25" priority="6" operator="equal">
      <formula>"NO PRAZO"</formula>
    </cfRule>
    <cfRule type="cellIs" dxfId="24" priority="7" operator="equal">
      <formula>"renovar"</formula>
    </cfRule>
    <cfRule type="cellIs" dxfId="23" priority="8" operator="equal">
      <formula>"renovar"</formula>
    </cfRule>
    <cfRule type="cellIs" dxfId="22" priority="9" operator="equal">
      <formula>"renovar"</formula>
    </cfRule>
    <cfRule type="cellIs" dxfId="21" priority="10" operator="equal">
      <formula>"NO PRAZO"</formula>
    </cfRule>
    <cfRule type="cellIs" dxfId="20" priority="11" operator="equal">
      <formula>"NO PRAZO"</formula>
    </cfRule>
    <cfRule type="cellIs" dxfId="19" priority="12" operator="equal">
      <formula>"VENCIDO"</formula>
    </cfRule>
    <cfRule type="cellIs" dxfId="18" priority="13" operator="equal">
      <formula>"NO PRAZO"</formula>
    </cfRule>
    <cfRule type="cellIs" dxfId="17" priority="14" operator="equal">
      <formula>"PAGO"</formula>
    </cfRule>
    <cfRule type="cellIs" dxfId="16" priority="15" operator="equal">
      <formula>"EM ANDAMENTO"</formula>
    </cfRule>
  </conditionalFormatting>
  <dataValidations count="2">
    <dataValidation type="list" allowBlank="1" showInputMessage="1" showErrorMessage="1" sqref="J9" xr:uid="{CE1FFEC5-7ECC-4977-93F1-DAF4CCCF08D6}">
      <formula1>"PRODUZIR, EM ESTOQUE"</formula1>
    </dataValidation>
    <dataValidation type="list" allowBlank="1" showInputMessage="1" showErrorMessage="1" sqref="J10" xr:uid="{C6CBA54F-AEF1-495C-A5EC-AE8C06F72593}">
      <formula1>"PRODUZIR, EM ESTOQUE, EMERGENCIA"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I17" listDataValidatio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0CF538D-18EF-438C-8403-8C14FF53B679}">
          <x14:formula1>
            <xm:f>Planilha1!$A$1:$A$2</xm:f>
          </x14:formula1>
          <xm:sqref>C9:C19</xm:sqref>
        </x14:dataValidation>
        <x14:dataValidation type="list" allowBlank="1" showInputMessage="1" showErrorMessage="1" xr:uid="{104EE760-6EC6-4071-BA32-18DE924A9626}">
          <x14:formula1>
            <xm:f>Planilha1!$C$1:$C$3</xm:f>
          </x14:formula1>
          <xm:sqref>E9:E19</xm:sqref>
        </x14:dataValidation>
        <x14:dataValidation type="list" allowBlank="1" showInputMessage="1" showErrorMessage="1" xr:uid="{6DA75A77-F225-4AC1-B6E8-362049BA9C9B}">
          <x14:formula1>
            <xm:f>Planilha1!$D$1:$D$2</xm:f>
          </x14:formula1>
          <xm:sqref>A9:A19</xm:sqref>
        </x14:dataValidation>
        <x14:dataValidation type="list" allowBlank="1" showInputMessage="1" showErrorMessage="1" xr:uid="{C86D7E93-F88E-4908-A82F-4538017BA41C}">
          <x14:formula1>
            <xm:f>Planilha1!$B$1</xm:f>
          </x14:formula1>
          <xm:sqref>I9:I19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994FA-6753-4B19-A88D-ADBC662B11A3}">
  <sheetPr codeName="Planilha3"/>
  <dimension ref="A1:D3"/>
  <sheetViews>
    <sheetView workbookViewId="0">
      <selection activeCell="D2" sqref="D2"/>
    </sheetView>
  </sheetViews>
  <sheetFormatPr defaultRowHeight="15" x14ac:dyDescent="0.25"/>
  <cols>
    <col min="1" max="1" width="10.42578125" customWidth="1"/>
  </cols>
  <sheetData>
    <row r="1" spans="1:4" x14ac:dyDescent="0.25">
      <c r="A1" t="s">
        <v>51</v>
      </c>
      <c r="B1" t="s">
        <v>50</v>
      </c>
      <c r="C1" t="s">
        <v>55</v>
      </c>
      <c r="D1" t="s">
        <v>15</v>
      </c>
    </row>
    <row r="2" spans="1:4" x14ac:dyDescent="0.25">
      <c r="A2" t="s">
        <v>56</v>
      </c>
      <c r="B2" t="s">
        <v>52</v>
      </c>
      <c r="C2" t="s">
        <v>53</v>
      </c>
      <c r="D2" t="s">
        <v>24</v>
      </c>
    </row>
    <row r="3" spans="1:4" x14ac:dyDescent="0.25">
      <c r="C3" t="s">
        <v>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PRODUÇÃO</vt:lpstr>
      <vt:lpstr>ESTOQUE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Gean Mendes Santos</dc:creator>
  <cp:lastModifiedBy>Lanchonete Emburana</cp:lastModifiedBy>
  <dcterms:created xsi:type="dcterms:W3CDTF">2025-11-30T13:10:40Z</dcterms:created>
  <dcterms:modified xsi:type="dcterms:W3CDTF">2026-10-28T16:40:52Z</dcterms:modified>
</cp:coreProperties>
</file>